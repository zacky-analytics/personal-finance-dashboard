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2A53467-E12B-4B85-935D-14E4BF7E8962}" xr6:coauthVersionLast="47" xr6:coauthVersionMax="47" xr10:uidLastSave="{00000000-0000-0000-0000-000000000000}"/>
  <bookViews>
    <workbookView xWindow="-120" yWindow="-120" windowWidth="20730" windowHeight="11040" activeTab="1" xr2:uid="{9856A5D8-6174-46D9-AB79-62B5F4B466BC}"/>
  </bookViews>
  <sheets>
    <sheet name="Transactions" sheetId="1" r:id="rId1"/>
    <sheet name="Analysis" sheetId="2" r:id="rId2"/>
  </sheets>
  <definedNames>
    <definedName name="_xlchart.v1.0" hidden="1">Analysis!$A$18:$A$23</definedName>
    <definedName name="_xlchart.v1.1" hidden="1">Analysis!$F$17</definedName>
    <definedName name="_xlchart.v1.2" hidden="1">Analysis!$F$18:$F$23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  <c r="D21" i="2"/>
  <c r="D22" i="2"/>
  <c r="D23" i="2"/>
  <c r="D19" i="2"/>
  <c r="C20" i="2"/>
  <c r="C21" i="2"/>
  <c r="C22" i="2"/>
  <c r="C23" i="2"/>
  <c r="C19" i="2"/>
  <c r="B20" i="2"/>
  <c r="E20" i="2" s="1"/>
  <c r="B21" i="2"/>
  <c r="E21" i="2" s="1"/>
  <c r="B22" i="2"/>
  <c r="B23" i="2"/>
  <c r="B19" i="2"/>
  <c r="E19" i="2" s="1"/>
  <c r="D18" i="2"/>
  <c r="C18" i="2"/>
  <c r="B18" i="2"/>
  <c r="E5" i="2"/>
  <c r="E6" i="2"/>
  <c r="E7" i="2"/>
  <c r="E8" i="2"/>
  <c r="E9" i="2"/>
  <c r="E10" i="2"/>
  <c r="E11" i="2"/>
  <c r="E12" i="2"/>
  <c r="E13" i="2"/>
  <c r="E4" i="2"/>
  <c r="B6" i="2"/>
  <c r="B5" i="2"/>
  <c r="F7" i="2" s="1"/>
  <c r="B4" i="2"/>
  <c r="E23" i="2" l="1"/>
  <c r="B7" i="2"/>
  <c r="F13" i="2"/>
  <c r="F9" i="2"/>
  <c r="F5" i="2"/>
  <c r="F21" i="2"/>
  <c r="F8" i="2"/>
  <c r="F11" i="2"/>
  <c r="E18" i="2"/>
  <c r="E22" i="2"/>
  <c r="F19" i="2"/>
  <c r="F20" i="2"/>
  <c r="F12" i="2"/>
  <c r="B8" i="2"/>
  <c r="F18" i="2"/>
  <c r="F23" i="2"/>
  <c r="F4" i="2"/>
  <c r="F10" i="2"/>
  <c r="F6" i="2"/>
  <c r="F22" i="2"/>
</calcChain>
</file>

<file path=xl/sharedStrings.xml><?xml version="1.0" encoding="utf-8"?>
<sst xmlns="http://schemas.openxmlformats.org/spreadsheetml/2006/main" count="284" uniqueCount="62">
  <si>
    <t>Type</t>
  </si>
  <si>
    <t>Category</t>
  </si>
  <si>
    <t>Description</t>
  </si>
  <si>
    <t>Amount</t>
  </si>
  <si>
    <t>Payment Method</t>
  </si>
  <si>
    <t>Date</t>
  </si>
  <si>
    <t>Income</t>
  </si>
  <si>
    <t>Salary</t>
  </si>
  <si>
    <t>Monthly salary</t>
  </si>
  <si>
    <t>Bank</t>
  </si>
  <si>
    <t>Expense</t>
  </si>
  <si>
    <t>Rent</t>
  </si>
  <si>
    <t>Monthly rent</t>
  </si>
  <si>
    <t>Food</t>
  </si>
  <si>
    <t>Groceries</t>
  </si>
  <si>
    <t>M-Pesa</t>
  </si>
  <si>
    <t>Transport</t>
  </si>
  <si>
    <t>Airtime &amp; Data</t>
  </si>
  <si>
    <t>Internet bundle</t>
  </si>
  <si>
    <t>Utilities</t>
  </si>
  <si>
    <t>Electricity</t>
  </si>
  <si>
    <t>Education</t>
  </si>
  <si>
    <t>Course materials</t>
  </si>
  <si>
    <t>Family</t>
  </si>
  <si>
    <t>Family support</t>
  </si>
  <si>
    <t>Eating out</t>
  </si>
  <si>
    <t>Savings/Investment</t>
  </si>
  <si>
    <t>Savings deposit</t>
  </si>
  <si>
    <t>Online course</t>
  </si>
  <si>
    <t>Entertainment</t>
  </si>
  <si>
    <t>Social activity</t>
  </si>
  <si>
    <t>Health</t>
  </si>
  <si>
    <t>Medical expenses</t>
  </si>
  <si>
    <t>Shopping</t>
  </si>
  <si>
    <t>Personal items</t>
  </si>
  <si>
    <t>Books/materials</t>
  </si>
  <si>
    <t>Learning materials</t>
  </si>
  <si>
    <t>Personal Finance Analysis</t>
  </si>
  <si>
    <t>Metric</t>
  </si>
  <si>
    <t>Value</t>
  </si>
  <si>
    <t>Total Income</t>
  </si>
  <si>
    <t>Total Expenses</t>
  </si>
  <si>
    <t>Total Savings</t>
  </si>
  <si>
    <t>Net Cash Flow</t>
  </si>
  <si>
    <t>Savings Rate</t>
  </si>
  <si>
    <t>Savings</t>
  </si>
  <si>
    <t>D</t>
  </si>
  <si>
    <t>E</t>
  </si>
  <si>
    <t>Expense Category</t>
  </si>
  <si>
    <t>Total</t>
  </si>
  <si>
    <t>Expense %</t>
  </si>
  <si>
    <t>A</t>
  </si>
  <si>
    <t>B</t>
  </si>
  <si>
    <t>C</t>
  </si>
  <si>
    <t>Month</t>
  </si>
  <si>
    <t>Expenses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</si>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</sst>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KSh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 wrapText="1"/>
    </xf>
    <xf numFmtId="9" fontId="0" fillId="0" borderId="0" xfId="1" applyFont="1"/>
    <xf numFmtId="171" fontId="0" fillId="0" borderId="0" xfId="0" applyNumberFormat="1"/>
    <xf numFmtId="0" fontId="3" fillId="2" borderId="0" xfId="0" applyFont="1" applyFill="1" applyAlignment="1">
      <alignment horizontal="left" vertical="center" indent="35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Net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Analysis!$E$17</c:f>
              <c:strCache>
                <c:ptCount val="1"/>
                <c:pt idx="0">
                  <c:v>Net Cash Flow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Analysis!$A$18:$A$23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Analysis!$E$18:$E$23</c:f>
              <c:numCache>
                <c:formatCode>"KSh"\ #,##0</c:formatCode>
                <c:ptCount val="6"/>
                <c:pt idx="0">
                  <c:v>13500</c:v>
                </c:pt>
                <c:pt idx="1">
                  <c:v>11200</c:v>
                </c:pt>
                <c:pt idx="2">
                  <c:v>9800</c:v>
                </c:pt>
                <c:pt idx="3">
                  <c:v>9200</c:v>
                </c:pt>
                <c:pt idx="4">
                  <c:v>10200</c:v>
                </c:pt>
                <c:pt idx="5">
                  <c:v>7400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25-4146-B741-381E027DA9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8451295"/>
        <c:axId val="447913055"/>
      </c:lineChart>
      <c:catAx>
        <c:axId val="64845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13055"/>
        <c:crosses val="autoZero"/>
        <c:auto val="1"/>
        <c:lblAlgn val="ctr"/>
        <c:lblOffset val="100"/>
        <c:noMultiLvlLbl val="0"/>
      </c:catAx>
      <c:valAx>
        <c:axId val="44791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KSh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5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all" baseline="0"/>
              <a:t>Expenses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63692038495189"/>
          <c:y val="0.21747703412073491"/>
          <c:w val="0.81536307961504817"/>
          <c:h val="0.5346055701370662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Analysis!$D$4:$D$13</c:f>
              <c:strCache>
                <c:ptCount val="10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Airtime &amp; Data</c:v>
                </c:pt>
                <c:pt idx="4">
                  <c:v>Utilities</c:v>
                </c:pt>
                <c:pt idx="5">
                  <c:v>Education</c:v>
                </c:pt>
                <c:pt idx="6">
                  <c:v>Family</c:v>
                </c:pt>
                <c:pt idx="7">
                  <c:v>Health</c:v>
                </c:pt>
                <c:pt idx="8">
                  <c:v>Entertainment</c:v>
                </c:pt>
                <c:pt idx="9">
                  <c:v>Shopping</c:v>
                </c:pt>
              </c:strCache>
            </c:strRef>
          </c:cat>
          <c:val>
            <c:numRef>
              <c:f>Analysis!$E$4:$E$13</c:f>
              <c:numCache>
                <c:formatCode>"KSh"\ #,##0</c:formatCode>
                <c:ptCount val="10"/>
                <c:pt idx="0">
                  <c:v>72000</c:v>
                </c:pt>
                <c:pt idx="1">
                  <c:v>26300</c:v>
                </c:pt>
                <c:pt idx="2">
                  <c:v>9700</c:v>
                </c:pt>
                <c:pt idx="3">
                  <c:v>6600</c:v>
                </c:pt>
                <c:pt idx="4">
                  <c:v>10800</c:v>
                </c:pt>
                <c:pt idx="5">
                  <c:v>10800</c:v>
                </c:pt>
                <c:pt idx="6">
                  <c:v>18500</c:v>
                </c:pt>
                <c:pt idx="7">
                  <c:v>4300</c:v>
                </c:pt>
                <c:pt idx="8">
                  <c:v>6000</c:v>
                </c:pt>
                <c:pt idx="9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D-421F-9824-C6D7C139FD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686736159"/>
        <c:axId val="521464063"/>
        <c:axId val="0"/>
      </c:bar3DChart>
      <c:catAx>
        <c:axId val="68673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64063"/>
        <c:crosses val="autoZero"/>
        <c:auto val="1"/>
        <c:lblAlgn val="ctr"/>
        <c:lblOffset val="100"/>
        <c:noMultiLvlLbl val="0"/>
      </c:catAx>
      <c:valAx>
        <c:axId val="52146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KSh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3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Analysis!$B$17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Analysis!$A$18:$A$23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Analysis!$B$18:$B$23</c:f>
              <c:numCache>
                <c:formatCode>"KSh"\ #,##0</c:formatCode>
                <c:ptCount val="6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4-4329-B3F6-567FF253856A}"/>
            </c:ext>
          </c:extLst>
        </c:ser>
        <c:ser>
          <c:idx val="1"/>
          <c:order val="1"/>
          <c:tx>
            <c:strRef>
              <c:f>Analysis!$C$17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Analysis!$A$18:$A$23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Analysis!$C$18:$C$23</c:f>
              <c:numCache>
                <c:formatCode>"KSh"\ #,##0</c:formatCode>
                <c:ptCount val="6"/>
                <c:pt idx="0">
                  <c:v>26500</c:v>
                </c:pt>
                <c:pt idx="1">
                  <c:v>27800</c:v>
                </c:pt>
                <c:pt idx="2">
                  <c:v>28200</c:v>
                </c:pt>
                <c:pt idx="3">
                  <c:v>29300</c:v>
                </c:pt>
                <c:pt idx="4">
                  <c:v>27800</c:v>
                </c:pt>
                <c:pt idx="5">
                  <c:v>30100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4-4329-B3F6-567FF25385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2788335"/>
        <c:axId val="521469343"/>
      </c:barChart>
      <c:catAx>
        <c:axId val="67278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69343"/>
        <c:crosses val="autoZero"/>
        <c:auto val="1"/>
        <c:lblAlgn val="ctr"/>
        <c:lblOffset val="100"/>
        <c:noMultiLvlLbl val="0"/>
      </c:catAx>
      <c:valAx>
        <c:axId val="5214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Sh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78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b="1"/>
              <a:t>Monthly Savings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333333333333333E-2"/>
          <c:y val="0.1600696267133275"/>
          <c:w val="0.93888888888888888"/>
          <c:h val="0.710061606882473"/>
        </c:manualLayout>
      </c:layout>
      <c:lineChart>
        <c:grouping val="standard"/>
        <c:varyColors val="0"/>
        <c:ser>
          <c:idx val="0"/>
          <c:order val="0"/>
          <c:tx>
            <c:strRef>
              <c:f>Analysis!$F$17</c:f>
              <c:strCache>
                <c:ptCount val="1"/>
                <c:pt idx="0">
                  <c:v>Savings Rate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Analysis!$A$18:$A$23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Analysis!$F$18:$F$23</c:f>
              <c:numCache>
                <c:formatCode>0%</c:formatCode>
                <c:ptCount val="6"/>
                <c:pt idx="0">
                  <c:v>0.1111111111111111</c:v>
                </c:pt>
                <c:pt idx="1">
                  <c:v>0.13333333333333333</c:v>
                </c:pt>
                <c:pt idx="2">
                  <c:v>0.15555555555555556</c:v>
                </c:pt>
                <c:pt idx="3">
                  <c:v>0.14444444444444443</c:v>
                </c:pt>
                <c:pt idx="4">
                  <c:v>0.15555555555555556</c:v>
                </c:pt>
                <c:pt idx="5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9-4A6F-A54A-3FD4BF0524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5151695"/>
        <c:axId val="780163807"/>
      </c:lineChart>
      <c:catAx>
        <c:axId val="79515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163807"/>
        <c:crosses val="autoZero"/>
        <c:auto val="1"/>
        <c:lblAlgn val="ctr"/>
        <c:lblOffset val="100"/>
        <c:noMultiLvlLbl val="0"/>
      </c:catAx>
      <c:valAx>
        <c:axId val="78016380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9515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25</xdr:row>
      <xdr:rowOff>14287</xdr:rowOff>
    </xdr:from>
    <xdr:to>
      <xdr:col>25</xdr:col>
      <xdr:colOff>323850</xdr:colOff>
      <xdr:row>39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41B6E-1A40-8F3C-1325-72EACE0D1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85725</xdr:colOff>
      <xdr:row>25</xdr:row>
      <xdr:rowOff>4762</xdr:rowOff>
    </xdr:from>
    <xdr:to>
      <xdr:col>17</xdr:col>
      <xdr:colOff>390525</xdr:colOff>
      <xdr:row>39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8C3C0-7D9F-EB20-25DC-4E1248E9C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866775</xdr:colOff>
      <xdr:row>25</xdr:row>
      <xdr:rowOff>14287</xdr:rowOff>
    </xdr:from>
    <xdr:to>
      <xdr:col>10</xdr:col>
      <xdr:colOff>9525</xdr:colOff>
      <xdr:row>39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1CE777-C13A-78EC-F17E-915F75926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25</xdr:row>
      <xdr:rowOff>4762</xdr:rowOff>
    </xdr:from>
    <xdr:to>
      <xdr:col>3</xdr:col>
      <xdr:colOff>742950</xdr:colOff>
      <xdr:row>39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83FE0F-8827-B537-ED65-19865C3A8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B70A-973B-47EC-A56F-1A42F51342A6}">
  <dimension ref="A1:F61"/>
  <sheetViews>
    <sheetView zoomScale="90" zoomScaleNormal="90" workbookViewId="0">
      <selection sqref="A1:A1048576"/>
    </sheetView>
  </sheetViews>
  <sheetFormatPr defaultRowHeight="15" x14ac:dyDescent="0.25"/>
  <cols>
    <col min="1" max="1" width="14.7109375" style="5" customWidth="1"/>
    <col min="2" max="2" width="12.140625" customWidth="1"/>
    <col min="3" max="3" width="19.42578125" customWidth="1"/>
    <col min="4" max="4" width="17.5703125" customWidth="1"/>
    <col min="5" max="5" width="11.7109375" style="5" customWidth="1"/>
    <col min="6" max="6" width="17.140625" customWidth="1"/>
  </cols>
  <sheetData>
    <row r="1" spans="1:6" x14ac:dyDescent="0.2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6">
        <v>46023</v>
      </c>
      <c r="B2" s="2" t="s">
        <v>6</v>
      </c>
      <c r="C2" s="2" t="s">
        <v>7</v>
      </c>
      <c r="D2" s="2" t="s">
        <v>8</v>
      </c>
      <c r="E2" s="4">
        <v>45000</v>
      </c>
      <c r="F2" s="2" t="s">
        <v>9</v>
      </c>
    </row>
    <row r="3" spans="1:6" x14ac:dyDescent="0.25">
      <c r="A3" s="6">
        <v>46024</v>
      </c>
      <c r="B3" s="2" t="s">
        <v>10</v>
      </c>
      <c r="C3" s="2" t="s">
        <v>11</v>
      </c>
      <c r="D3" s="2" t="s">
        <v>12</v>
      </c>
      <c r="E3" s="4">
        <v>12000</v>
      </c>
      <c r="F3" s="2" t="s">
        <v>9</v>
      </c>
    </row>
    <row r="4" spans="1:6" x14ac:dyDescent="0.25">
      <c r="A4" s="6">
        <v>46025</v>
      </c>
      <c r="B4" s="2" t="s">
        <v>10</v>
      </c>
      <c r="C4" s="2" t="s">
        <v>13</v>
      </c>
      <c r="D4" s="2" t="s">
        <v>14</v>
      </c>
      <c r="E4" s="4">
        <v>3500</v>
      </c>
      <c r="F4" s="2" t="s">
        <v>15</v>
      </c>
    </row>
    <row r="5" spans="1:6" x14ac:dyDescent="0.25">
      <c r="A5" s="6">
        <v>46026</v>
      </c>
      <c r="B5" s="2" t="s">
        <v>10</v>
      </c>
      <c r="C5" s="2" t="s">
        <v>16</v>
      </c>
      <c r="D5" s="2" t="s">
        <v>16</v>
      </c>
      <c r="E5" s="4">
        <v>1200</v>
      </c>
      <c r="F5" s="2" t="s">
        <v>15</v>
      </c>
    </row>
    <row r="6" spans="1:6" x14ac:dyDescent="0.25">
      <c r="A6" s="6">
        <v>46027</v>
      </c>
      <c r="B6" s="2" t="s">
        <v>10</v>
      </c>
      <c r="C6" s="2" t="s">
        <v>17</v>
      </c>
      <c r="D6" s="2" t="s">
        <v>18</v>
      </c>
      <c r="E6" s="4">
        <v>1000</v>
      </c>
      <c r="F6" s="2" t="s">
        <v>15</v>
      </c>
    </row>
    <row r="7" spans="1:6" x14ac:dyDescent="0.25">
      <c r="A7" s="6">
        <v>46030</v>
      </c>
      <c r="B7" s="2" t="s">
        <v>10</v>
      </c>
      <c r="C7" s="2" t="s">
        <v>19</v>
      </c>
      <c r="D7" s="2" t="s">
        <v>20</v>
      </c>
      <c r="E7" s="4">
        <v>1800</v>
      </c>
      <c r="F7" s="2" t="s">
        <v>15</v>
      </c>
    </row>
    <row r="8" spans="1:6" x14ac:dyDescent="0.25">
      <c r="A8" s="6">
        <v>46034</v>
      </c>
      <c r="B8" s="2" t="s">
        <v>10</v>
      </c>
      <c r="C8" s="2" t="s">
        <v>21</v>
      </c>
      <c r="D8" s="2" t="s">
        <v>22</v>
      </c>
      <c r="E8" s="4">
        <v>2500</v>
      </c>
      <c r="F8" s="2" t="s">
        <v>15</v>
      </c>
    </row>
    <row r="9" spans="1:6" x14ac:dyDescent="0.25">
      <c r="A9" s="6">
        <v>46037</v>
      </c>
      <c r="B9" s="2" t="s">
        <v>10</v>
      </c>
      <c r="C9" s="2" t="s">
        <v>23</v>
      </c>
      <c r="D9" s="2" t="s">
        <v>24</v>
      </c>
      <c r="E9" s="4">
        <v>3000</v>
      </c>
      <c r="F9" s="2" t="s">
        <v>9</v>
      </c>
    </row>
    <row r="10" spans="1:6" x14ac:dyDescent="0.25">
      <c r="A10" s="6">
        <v>46042</v>
      </c>
      <c r="B10" s="2" t="s">
        <v>10</v>
      </c>
      <c r="C10" s="2" t="s">
        <v>13</v>
      </c>
      <c r="D10" s="2" t="s">
        <v>25</v>
      </c>
      <c r="E10" s="4">
        <v>1500</v>
      </c>
      <c r="F10" s="2" t="s">
        <v>15</v>
      </c>
    </row>
    <row r="11" spans="1:6" x14ac:dyDescent="0.25">
      <c r="A11" s="6">
        <v>46047</v>
      </c>
      <c r="B11" s="2" t="s">
        <v>45</v>
      </c>
      <c r="C11" s="2" t="s">
        <v>26</v>
      </c>
      <c r="D11" s="2" t="s">
        <v>27</v>
      </c>
      <c r="E11" s="4">
        <v>5000</v>
      </c>
      <c r="F11" s="2" t="s">
        <v>9</v>
      </c>
    </row>
    <row r="12" spans="1:6" x14ac:dyDescent="0.25">
      <c r="A12" s="6">
        <v>46054</v>
      </c>
      <c r="B12" s="2" t="s">
        <v>6</v>
      </c>
      <c r="C12" s="2" t="s">
        <v>7</v>
      </c>
      <c r="D12" s="2" t="s">
        <v>8</v>
      </c>
      <c r="E12" s="4">
        <v>45000</v>
      </c>
      <c r="F12" s="2" t="s">
        <v>9</v>
      </c>
    </row>
    <row r="13" spans="1:6" x14ac:dyDescent="0.25">
      <c r="A13" s="6">
        <v>46055</v>
      </c>
      <c r="B13" s="2" t="s">
        <v>10</v>
      </c>
      <c r="C13" s="2" t="s">
        <v>11</v>
      </c>
      <c r="D13" s="2" t="s">
        <v>12</v>
      </c>
      <c r="E13" s="4">
        <v>12000</v>
      </c>
      <c r="F13" s="2" t="s">
        <v>9</v>
      </c>
    </row>
    <row r="14" spans="1:6" x14ac:dyDescent="0.25">
      <c r="A14" s="6">
        <v>46057</v>
      </c>
      <c r="B14" s="2" t="s">
        <v>10</v>
      </c>
      <c r="C14" s="2" t="s">
        <v>13</v>
      </c>
      <c r="D14" s="2" t="s">
        <v>14</v>
      </c>
      <c r="E14" s="4">
        <v>4200</v>
      </c>
      <c r="F14" s="2" t="s">
        <v>15</v>
      </c>
    </row>
    <row r="15" spans="1:6" x14ac:dyDescent="0.25">
      <c r="A15" s="6">
        <v>46059</v>
      </c>
      <c r="B15" s="2" t="s">
        <v>10</v>
      </c>
      <c r="C15" s="2" t="s">
        <v>16</v>
      </c>
      <c r="D15" s="2" t="s">
        <v>16</v>
      </c>
      <c r="E15" s="4">
        <v>1500</v>
      </c>
      <c r="F15" s="2" t="s">
        <v>15</v>
      </c>
    </row>
    <row r="16" spans="1:6" x14ac:dyDescent="0.25">
      <c r="A16" s="6">
        <v>46061</v>
      </c>
      <c r="B16" s="2" t="s">
        <v>10</v>
      </c>
      <c r="C16" s="2" t="s">
        <v>17</v>
      </c>
      <c r="D16" s="2" t="s">
        <v>18</v>
      </c>
      <c r="E16" s="4">
        <v>1200</v>
      </c>
      <c r="F16" s="2" t="s">
        <v>15</v>
      </c>
    </row>
    <row r="17" spans="1:6" x14ac:dyDescent="0.25">
      <c r="A17" s="6">
        <v>46063</v>
      </c>
      <c r="B17" s="2" t="s">
        <v>10</v>
      </c>
      <c r="C17" s="2" t="s">
        <v>19</v>
      </c>
      <c r="D17" s="2" t="s">
        <v>20</v>
      </c>
      <c r="E17" s="4">
        <v>1600</v>
      </c>
      <c r="F17" s="2" t="s">
        <v>15</v>
      </c>
    </row>
    <row r="18" spans="1:6" x14ac:dyDescent="0.25">
      <c r="A18" s="6">
        <v>46067</v>
      </c>
      <c r="B18" s="2" t="s">
        <v>10</v>
      </c>
      <c r="C18" s="2" t="s">
        <v>21</v>
      </c>
      <c r="D18" s="2" t="s">
        <v>28</v>
      </c>
      <c r="E18" s="4">
        <v>3000</v>
      </c>
      <c r="F18" s="2" t="s">
        <v>15</v>
      </c>
    </row>
    <row r="19" spans="1:6" x14ac:dyDescent="0.25">
      <c r="A19" s="6">
        <v>46071</v>
      </c>
      <c r="B19" s="2" t="s">
        <v>10</v>
      </c>
      <c r="C19" s="2" t="s">
        <v>23</v>
      </c>
      <c r="D19" s="2" t="s">
        <v>24</v>
      </c>
      <c r="E19" s="4">
        <v>2500</v>
      </c>
      <c r="F19" s="2" t="s">
        <v>9</v>
      </c>
    </row>
    <row r="20" spans="1:6" x14ac:dyDescent="0.25">
      <c r="A20" s="6">
        <v>46075</v>
      </c>
      <c r="B20" s="2" t="s">
        <v>10</v>
      </c>
      <c r="C20" s="2" t="s">
        <v>29</v>
      </c>
      <c r="D20" s="2" t="s">
        <v>30</v>
      </c>
      <c r="E20" s="4">
        <v>1800</v>
      </c>
      <c r="F20" s="2" t="s">
        <v>15</v>
      </c>
    </row>
    <row r="21" spans="1:6" x14ac:dyDescent="0.25">
      <c r="A21" s="6">
        <v>46080</v>
      </c>
      <c r="B21" s="2" t="s">
        <v>45</v>
      </c>
      <c r="C21" s="2" t="s">
        <v>26</v>
      </c>
      <c r="D21" s="2" t="s">
        <v>27</v>
      </c>
      <c r="E21" s="4">
        <v>6000</v>
      </c>
      <c r="F21" s="2" t="s">
        <v>9</v>
      </c>
    </row>
    <row r="22" spans="1:6" x14ac:dyDescent="0.25">
      <c r="A22" s="6">
        <v>46082</v>
      </c>
      <c r="B22" s="2" t="s">
        <v>6</v>
      </c>
      <c r="C22" s="2" t="s">
        <v>7</v>
      </c>
      <c r="D22" s="2" t="s">
        <v>8</v>
      </c>
      <c r="E22" s="4">
        <v>45000</v>
      </c>
      <c r="F22" s="2" t="s">
        <v>9</v>
      </c>
    </row>
    <row r="23" spans="1:6" x14ac:dyDescent="0.25">
      <c r="A23" s="6">
        <v>46084</v>
      </c>
      <c r="B23" s="2" t="s">
        <v>10</v>
      </c>
      <c r="C23" s="2" t="s">
        <v>11</v>
      </c>
      <c r="D23" s="2" t="s">
        <v>12</v>
      </c>
      <c r="E23" s="4">
        <v>12000</v>
      </c>
      <c r="F23" s="2" t="s">
        <v>9</v>
      </c>
    </row>
    <row r="24" spans="1:6" x14ac:dyDescent="0.25">
      <c r="A24" s="6">
        <v>46086</v>
      </c>
      <c r="B24" s="2" t="s">
        <v>10</v>
      </c>
      <c r="C24" s="2" t="s">
        <v>13</v>
      </c>
      <c r="D24" s="2" t="s">
        <v>14</v>
      </c>
      <c r="E24" s="4">
        <v>3800</v>
      </c>
      <c r="F24" s="2" t="s">
        <v>15</v>
      </c>
    </row>
    <row r="25" spans="1:6" x14ac:dyDescent="0.25">
      <c r="A25" s="6">
        <v>46088</v>
      </c>
      <c r="B25" s="2" t="s">
        <v>10</v>
      </c>
      <c r="C25" s="2" t="s">
        <v>16</v>
      </c>
      <c r="D25" s="2" t="s">
        <v>16</v>
      </c>
      <c r="E25" s="4">
        <v>1800</v>
      </c>
      <c r="F25" s="2" t="s">
        <v>15</v>
      </c>
    </row>
    <row r="26" spans="1:6" x14ac:dyDescent="0.25">
      <c r="A26" s="6">
        <v>46090</v>
      </c>
      <c r="B26" s="2" t="s">
        <v>10</v>
      </c>
      <c r="C26" s="2" t="s">
        <v>17</v>
      </c>
      <c r="D26" s="2" t="s">
        <v>18</v>
      </c>
      <c r="E26" s="4">
        <v>1000</v>
      </c>
      <c r="F26" s="2" t="s">
        <v>15</v>
      </c>
    </row>
    <row r="27" spans="1:6" x14ac:dyDescent="0.25">
      <c r="A27" s="6">
        <v>46093</v>
      </c>
      <c r="B27" s="2" t="s">
        <v>10</v>
      </c>
      <c r="C27" s="2" t="s">
        <v>19</v>
      </c>
      <c r="D27" s="2" t="s">
        <v>20</v>
      </c>
      <c r="E27" s="4">
        <v>1900</v>
      </c>
      <c r="F27" s="2" t="s">
        <v>15</v>
      </c>
    </row>
    <row r="28" spans="1:6" x14ac:dyDescent="0.25">
      <c r="A28" s="6">
        <v>46096</v>
      </c>
      <c r="B28" s="2" t="s">
        <v>10</v>
      </c>
      <c r="C28" s="2" t="s">
        <v>31</v>
      </c>
      <c r="D28" s="2" t="s">
        <v>32</v>
      </c>
      <c r="E28" s="4">
        <v>2500</v>
      </c>
      <c r="F28" s="2" t="s">
        <v>15</v>
      </c>
    </row>
    <row r="29" spans="1:6" x14ac:dyDescent="0.25">
      <c r="A29" s="6">
        <v>46100</v>
      </c>
      <c r="B29" s="2" t="s">
        <v>10</v>
      </c>
      <c r="C29" s="2" t="s">
        <v>23</v>
      </c>
      <c r="D29" s="2" t="s">
        <v>24</v>
      </c>
      <c r="E29" s="4">
        <v>3000</v>
      </c>
      <c r="F29" s="2" t="s">
        <v>9</v>
      </c>
    </row>
    <row r="30" spans="1:6" x14ac:dyDescent="0.25">
      <c r="A30" s="6">
        <v>46105</v>
      </c>
      <c r="B30" s="2" t="s">
        <v>10</v>
      </c>
      <c r="C30" s="2" t="s">
        <v>33</v>
      </c>
      <c r="D30" s="2" t="s">
        <v>34</v>
      </c>
      <c r="E30" s="4">
        <v>2200</v>
      </c>
      <c r="F30" s="2" t="s">
        <v>15</v>
      </c>
    </row>
    <row r="31" spans="1:6" x14ac:dyDescent="0.25">
      <c r="A31" s="6">
        <v>46109</v>
      </c>
      <c r="B31" s="2" t="s">
        <v>45</v>
      </c>
      <c r="C31" s="2" t="s">
        <v>26</v>
      </c>
      <c r="D31" s="2" t="s">
        <v>27</v>
      </c>
      <c r="E31" s="4">
        <v>7000</v>
      </c>
      <c r="F31" s="2" t="s">
        <v>9</v>
      </c>
    </row>
    <row r="32" spans="1:6" x14ac:dyDescent="0.25">
      <c r="A32" s="6">
        <v>46113</v>
      </c>
      <c r="B32" s="2" t="s">
        <v>6</v>
      </c>
      <c r="C32" s="2" t="s">
        <v>7</v>
      </c>
      <c r="D32" s="2" t="s">
        <v>8</v>
      </c>
      <c r="E32" s="4">
        <v>45000</v>
      </c>
      <c r="F32" s="2" t="s">
        <v>9</v>
      </c>
    </row>
    <row r="33" spans="1:6" x14ac:dyDescent="0.25">
      <c r="A33" s="6">
        <v>46114</v>
      </c>
      <c r="B33" s="2" t="s">
        <v>10</v>
      </c>
      <c r="C33" s="2" t="s">
        <v>11</v>
      </c>
      <c r="D33" s="2" t="s">
        <v>12</v>
      </c>
      <c r="E33" s="4">
        <v>12000</v>
      </c>
      <c r="F33" s="2" t="s">
        <v>9</v>
      </c>
    </row>
    <row r="34" spans="1:6" x14ac:dyDescent="0.25">
      <c r="A34" s="6">
        <v>46116</v>
      </c>
      <c r="B34" s="2" t="s">
        <v>10</v>
      </c>
      <c r="C34" s="2" t="s">
        <v>13</v>
      </c>
      <c r="D34" s="2" t="s">
        <v>14</v>
      </c>
      <c r="E34" s="4">
        <v>4500</v>
      </c>
      <c r="F34" s="2" t="s">
        <v>15</v>
      </c>
    </row>
    <row r="35" spans="1:6" x14ac:dyDescent="0.25">
      <c r="A35" s="6">
        <v>46118</v>
      </c>
      <c r="B35" s="2" t="s">
        <v>10</v>
      </c>
      <c r="C35" s="2" t="s">
        <v>16</v>
      </c>
      <c r="D35" s="2" t="s">
        <v>16</v>
      </c>
      <c r="E35" s="4">
        <v>1600</v>
      </c>
      <c r="F35" s="2" t="s">
        <v>15</v>
      </c>
    </row>
    <row r="36" spans="1:6" x14ac:dyDescent="0.25">
      <c r="A36" s="6">
        <v>46121</v>
      </c>
      <c r="B36" s="2" t="s">
        <v>10</v>
      </c>
      <c r="C36" s="2" t="s">
        <v>17</v>
      </c>
      <c r="D36" s="2" t="s">
        <v>18</v>
      </c>
      <c r="E36" s="4">
        <v>1200</v>
      </c>
      <c r="F36" s="2" t="s">
        <v>15</v>
      </c>
    </row>
    <row r="37" spans="1:6" x14ac:dyDescent="0.25">
      <c r="A37" s="6">
        <v>46123</v>
      </c>
      <c r="B37" s="2" t="s">
        <v>10</v>
      </c>
      <c r="C37" s="2" t="s">
        <v>19</v>
      </c>
      <c r="D37" s="2" t="s">
        <v>20</v>
      </c>
      <c r="E37" s="4">
        <v>1700</v>
      </c>
      <c r="F37" s="2" t="s">
        <v>15</v>
      </c>
    </row>
    <row r="38" spans="1:6" x14ac:dyDescent="0.25">
      <c r="A38" s="6">
        <v>46128</v>
      </c>
      <c r="B38" s="2" t="s">
        <v>10</v>
      </c>
      <c r="C38" s="2" t="s">
        <v>21</v>
      </c>
      <c r="D38" s="2" t="s">
        <v>35</v>
      </c>
      <c r="E38" s="4">
        <v>2800</v>
      </c>
      <c r="F38" s="2" t="s">
        <v>15</v>
      </c>
    </row>
    <row r="39" spans="1:6" x14ac:dyDescent="0.25">
      <c r="A39" s="6">
        <v>46132</v>
      </c>
      <c r="B39" s="2" t="s">
        <v>10</v>
      </c>
      <c r="C39" s="2" t="s">
        <v>23</v>
      </c>
      <c r="D39" s="2" t="s">
        <v>24</v>
      </c>
      <c r="E39" s="4">
        <v>3500</v>
      </c>
      <c r="F39" s="2" t="s">
        <v>9</v>
      </c>
    </row>
    <row r="40" spans="1:6" x14ac:dyDescent="0.25">
      <c r="A40" s="6">
        <v>46136</v>
      </c>
      <c r="B40" s="2" t="s">
        <v>10</v>
      </c>
      <c r="C40" s="2" t="s">
        <v>29</v>
      </c>
      <c r="D40" s="2" t="s">
        <v>30</v>
      </c>
      <c r="E40" s="4">
        <v>2000</v>
      </c>
      <c r="F40" s="2" t="s">
        <v>15</v>
      </c>
    </row>
    <row r="41" spans="1:6" x14ac:dyDescent="0.25">
      <c r="A41" s="6">
        <v>46140</v>
      </c>
      <c r="B41" s="2" t="s">
        <v>45</v>
      </c>
      <c r="C41" s="2" t="s">
        <v>26</v>
      </c>
      <c r="D41" s="2" t="s">
        <v>27</v>
      </c>
      <c r="E41" s="4">
        <v>6500</v>
      </c>
      <c r="F41" s="2" t="s">
        <v>9</v>
      </c>
    </row>
    <row r="42" spans="1:6" x14ac:dyDescent="0.25">
      <c r="A42" s="6">
        <v>46143</v>
      </c>
      <c r="B42" s="2" t="s">
        <v>6</v>
      </c>
      <c r="C42" s="2" t="s">
        <v>7</v>
      </c>
      <c r="D42" s="2" t="s">
        <v>8</v>
      </c>
      <c r="E42" s="4">
        <v>45000</v>
      </c>
      <c r="F42" s="2" t="s">
        <v>9</v>
      </c>
    </row>
    <row r="43" spans="1:6" x14ac:dyDescent="0.25">
      <c r="A43" s="6">
        <v>46144</v>
      </c>
      <c r="B43" s="2" t="s">
        <v>10</v>
      </c>
      <c r="C43" s="2" t="s">
        <v>11</v>
      </c>
      <c r="D43" s="2" t="s">
        <v>12</v>
      </c>
      <c r="E43" s="4">
        <v>12000</v>
      </c>
      <c r="F43" s="2" t="s">
        <v>9</v>
      </c>
    </row>
    <row r="44" spans="1:6" x14ac:dyDescent="0.25">
      <c r="A44" s="6">
        <v>46146</v>
      </c>
      <c r="B44" s="2" t="s">
        <v>10</v>
      </c>
      <c r="C44" s="2" t="s">
        <v>13</v>
      </c>
      <c r="D44" s="2" t="s">
        <v>14</v>
      </c>
      <c r="E44" s="4">
        <v>4000</v>
      </c>
      <c r="F44" s="2" t="s">
        <v>15</v>
      </c>
    </row>
    <row r="45" spans="1:6" x14ac:dyDescent="0.25">
      <c r="A45" s="6">
        <v>46149</v>
      </c>
      <c r="B45" s="2" t="s">
        <v>10</v>
      </c>
      <c r="C45" s="2" t="s">
        <v>16</v>
      </c>
      <c r="D45" s="2" t="s">
        <v>16</v>
      </c>
      <c r="E45" s="4">
        <v>1700</v>
      </c>
      <c r="F45" s="2" t="s">
        <v>15</v>
      </c>
    </row>
    <row r="46" spans="1:6" x14ac:dyDescent="0.25">
      <c r="A46" s="6">
        <v>46151</v>
      </c>
      <c r="B46" s="2" t="s">
        <v>10</v>
      </c>
      <c r="C46" s="2" t="s">
        <v>17</v>
      </c>
      <c r="D46" s="2" t="s">
        <v>18</v>
      </c>
      <c r="E46" s="4">
        <v>1000</v>
      </c>
      <c r="F46" s="2" t="s">
        <v>15</v>
      </c>
    </row>
    <row r="47" spans="1:6" x14ac:dyDescent="0.25">
      <c r="A47" s="6">
        <v>46154</v>
      </c>
      <c r="B47" s="2" t="s">
        <v>10</v>
      </c>
      <c r="C47" s="2" t="s">
        <v>19</v>
      </c>
      <c r="D47" s="2" t="s">
        <v>20</v>
      </c>
      <c r="E47" s="4">
        <v>1800</v>
      </c>
      <c r="F47" s="2" t="s">
        <v>15</v>
      </c>
    </row>
    <row r="48" spans="1:6" x14ac:dyDescent="0.25">
      <c r="A48" s="6">
        <v>46158</v>
      </c>
      <c r="B48" s="2" t="s">
        <v>10</v>
      </c>
      <c r="C48" s="2" t="s">
        <v>31</v>
      </c>
      <c r="D48" s="2" t="s">
        <v>32</v>
      </c>
      <c r="E48" s="4">
        <v>1800</v>
      </c>
      <c r="F48" s="2" t="s">
        <v>15</v>
      </c>
    </row>
    <row r="49" spans="1:6" x14ac:dyDescent="0.25">
      <c r="A49" s="6">
        <v>46162</v>
      </c>
      <c r="B49" s="2" t="s">
        <v>10</v>
      </c>
      <c r="C49" s="2" t="s">
        <v>23</v>
      </c>
      <c r="D49" s="2" t="s">
        <v>24</v>
      </c>
      <c r="E49" s="4">
        <v>3000</v>
      </c>
      <c r="F49" s="2" t="s">
        <v>9</v>
      </c>
    </row>
    <row r="50" spans="1:6" x14ac:dyDescent="0.25">
      <c r="A50" s="6">
        <v>46166</v>
      </c>
      <c r="B50" s="2" t="s">
        <v>10</v>
      </c>
      <c r="C50" s="2" t="s">
        <v>33</v>
      </c>
      <c r="D50" s="2" t="s">
        <v>34</v>
      </c>
      <c r="E50" s="4">
        <v>2500</v>
      </c>
      <c r="F50" s="2" t="s">
        <v>15</v>
      </c>
    </row>
    <row r="51" spans="1:6" x14ac:dyDescent="0.25">
      <c r="A51" s="6">
        <v>46170</v>
      </c>
      <c r="B51" s="2" t="s">
        <v>45</v>
      </c>
      <c r="C51" s="2" t="s">
        <v>26</v>
      </c>
      <c r="D51" s="2" t="s">
        <v>27</v>
      </c>
      <c r="E51" s="4">
        <v>7000</v>
      </c>
      <c r="F51" s="2" t="s">
        <v>9</v>
      </c>
    </row>
    <row r="52" spans="1:6" x14ac:dyDescent="0.25">
      <c r="A52" s="6">
        <v>46174</v>
      </c>
      <c r="B52" s="2" t="s">
        <v>6</v>
      </c>
      <c r="C52" s="2" t="s">
        <v>7</v>
      </c>
      <c r="D52" s="2" t="s">
        <v>8</v>
      </c>
      <c r="E52" s="4">
        <v>45000</v>
      </c>
      <c r="F52" s="2" t="s">
        <v>9</v>
      </c>
    </row>
    <row r="53" spans="1:6" x14ac:dyDescent="0.25">
      <c r="A53" s="6">
        <v>46175</v>
      </c>
      <c r="B53" s="2" t="s">
        <v>10</v>
      </c>
      <c r="C53" s="2" t="s">
        <v>11</v>
      </c>
      <c r="D53" s="2" t="s">
        <v>12</v>
      </c>
      <c r="E53" s="4">
        <v>12000</v>
      </c>
      <c r="F53" s="2" t="s">
        <v>9</v>
      </c>
    </row>
    <row r="54" spans="1:6" x14ac:dyDescent="0.25">
      <c r="A54" s="6">
        <v>46178</v>
      </c>
      <c r="B54" s="2" t="s">
        <v>10</v>
      </c>
      <c r="C54" s="2" t="s">
        <v>13</v>
      </c>
      <c r="D54" s="2" t="s">
        <v>14</v>
      </c>
      <c r="E54" s="4">
        <v>4800</v>
      </c>
      <c r="F54" s="2" t="s">
        <v>15</v>
      </c>
    </row>
    <row r="55" spans="1:6" x14ac:dyDescent="0.25">
      <c r="A55" s="6">
        <v>46180</v>
      </c>
      <c r="B55" s="2" t="s">
        <v>10</v>
      </c>
      <c r="C55" s="2" t="s">
        <v>16</v>
      </c>
      <c r="D55" s="2" t="s">
        <v>16</v>
      </c>
      <c r="E55" s="4">
        <v>1900</v>
      </c>
      <c r="F55" s="2" t="s">
        <v>15</v>
      </c>
    </row>
    <row r="56" spans="1:6" x14ac:dyDescent="0.25">
      <c r="A56" s="6">
        <v>46183</v>
      </c>
      <c r="B56" s="2" t="s">
        <v>10</v>
      </c>
      <c r="C56" s="2" t="s">
        <v>17</v>
      </c>
      <c r="D56" s="2" t="s">
        <v>18</v>
      </c>
      <c r="E56" s="4">
        <v>1200</v>
      </c>
      <c r="F56" s="2" t="s">
        <v>15</v>
      </c>
    </row>
    <row r="57" spans="1:6" x14ac:dyDescent="0.25">
      <c r="A57" s="6">
        <v>46185</v>
      </c>
      <c r="B57" s="2" t="s">
        <v>10</v>
      </c>
      <c r="C57" s="2" t="s">
        <v>19</v>
      </c>
      <c r="D57" s="2" t="s">
        <v>20</v>
      </c>
      <c r="E57" s="4">
        <v>2000</v>
      </c>
      <c r="F57" s="2" t="s">
        <v>15</v>
      </c>
    </row>
    <row r="58" spans="1:6" x14ac:dyDescent="0.25">
      <c r="A58" s="6">
        <v>46189</v>
      </c>
      <c r="B58" s="2" t="s">
        <v>10</v>
      </c>
      <c r="C58" s="2" t="s">
        <v>21</v>
      </c>
      <c r="D58" s="2" t="s">
        <v>36</v>
      </c>
      <c r="E58" s="4">
        <v>2500</v>
      </c>
      <c r="F58" s="2" t="s">
        <v>15</v>
      </c>
    </row>
    <row r="59" spans="1:6" x14ac:dyDescent="0.25">
      <c r="A59" s="6">
        <v>46193</v>
      </c>
      <c r="B59" s="2" t="s">
        <v>10</v>
      </c>
      <c r="C59" s="2" t="s">
        <v>23</v>
      </c>
      <c r="D59" s="2" t="s">
        <v>24</v>
      </c>
      <c r="E59" s="4">
        <v>3500</v>
      </c>
      <c r="F59" s="2" t="s">
        <v>9</v>
      </c>
    </row>
    <row r="60" spans="1:6" x14ac:dyDescent="0.25">
      <c r="A60" s="6">
        <v>46198</v>
      </c>
      <c r="B60" s="2" t="s">
        <v>10</v>
      </c>
      <c r="C60" s="2" t="s">
        <v>29</v>
      </c>
      <c r="D60" s="2" t="s">
        <v>30</v>
      </c>
      <c r="E60" s="4">
        <v>2200</v>
      </c>
      <c r="F60" s="2" t="s">
        <v>15</v>
      </c>
    </row>
    <row r="61" spans="1:6" x14ac:dyDescent="0.25">
      <c r="A61" s="6">
        <v>46201</v>
      </c>
      <c r="B61" s="2" t="s">
        <v>45</v>
      </c>
      <c r="C61" s="2" t="s">
        <v>26</v>
      </c>
      <c r="D61" s="2" t="s">
        <v>27</v>
      </c>
      <c r="E61" s="4">
        <v>7500</v>
      </c>
      <c r="F6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0A90-CFB8-4C39-B048-8D2D997308FD}">
  <dimension ref="A1:F23"/>
  <sheetViews>
    <sheetView tabSelected="1" topLeftCell="A24" zoomScaleNormal="100" workbookViewId="0">
      <selection activeCell="F20" sqref="F20"/>
    </sheetView>
  </sheetViews>
  <sheetFormatPr defaultRowHeight="15" x14ac:dyDescent="0.25"/>
  <cols>
    <col min="1" max="1" width="25.5703125" customWidth="1"/>
    <col min="2" max="2" width="21.85546875" customWidth="1"/>
    <col min="3" max="3" width="10.140625" bestFit="1" customWidth="1"/>
    <col min="4" max="4" width="21.28515625" customWidth="1"/>
    <col min="5" max="5" width="11" customWidth="1"/>
    <col min="6" max="6" width="12.5703125" customWidth="1"/>
  </cols>
  <sheetData>
    <row r="1" spans="1:6" ht="36" x14ac:dyDescent="0.25">
      <c r="A1" s="9" t="s">
        <v>37</v>
      </c>
    </row>
    <row r="3" spans="1:6" ht="15.75" x14ac:dyDescent="0.25">
      <c r="A3" s="10" t="s">
        <v>38</v>
      </c>
      <c r="B3" s="10" t="s">
        <v>39</v>
      </c>
      <c r="D3" s="10" t="s">
        <v>48</v>
      </c>
      <c r="E3" s="10" t="s">
        <v>49</v>
      </c>
      <c r="F3" s="10" t="s">
        <v>50</v>
      </c>
    </row>
    <row r="4" spans="1:6" x14ac:dyDescent="0.25">
      <c r="A4" t="s">
        <v>40</v>
      </c>
      <c r="B4" s="8">
        <f>SUMIF(Transactions!B:B,"Income",Transactions!E:E)</f>
        <v>270000</v>
      </c>
      <c r="D4" t="s">
        <v>11</v>
      </c>
      <c r="E4" s="8">
        <f>SUMIFS(Transactions!E:E,Transactions!C:C,D4,Transactions!B:B,"Expense")</f>
        <v>72000</v>
      </c>
      <c r="F4" s="7">
        <f>E4/$B$5</f>
        <v>0.42427813789039481</v>
      </c>
    </row>
    <row r="5" spans="1:6" x14ac:dyDescent="0.25">
      <c r="A5" t="s">
        <v>41</v>
      </c>
      <c r="B5" s="8">
        <f>SUMIF(Transactions!B:B,"Expense",Transactions!E:E)</f>
        <v>169700</v>
      </c>
      <c r="D5" t="s">
        <v>13</v>
      </c>
      <c r="E5" s="8">
        <f>SUMIFS(Transactions!E:E,Transactions!C:C,D5,Transactions!B:B,"Expense")</f>
        <v>26300</v>
      </c>
      <c r="F5" s="7">
        <f t="shared" ref="F5:F13" si="0">E5/$B$5</f>
        <v>0.15497937536829701</v>
      </c>
    </row>
    <row r="6" spans="1:6" x14ac:dyDescent="0.25">
      <c r="A6" t="s">
        <v>42</v>
      </c>
      <c r="B6" s="8">
        <f>SUMIF(Transactions!B:B,"Savings",Transactions!E:E)</f>
        <v>39000</v>
      </c>
      <c r="D6" t="s">
        <v>16</v>
      </c>
      <c r="E6" s="8">
        <f>SUMIFS(Transactions!E:E,Transactions!C:C,D6,Transactions!B:B,"Expense")</f>
        <v>9700</v>
      </c>
      <c r="F6" s="7">
        <f t="shared" si="0"/>
        <v>5.7159693576900414E-2</v>
      </c>
    </row>
    <row r="7" spans="1:6" x14ac:dyDescent="0.25">
      <c r="A7" t="s">
        <v>43</v>
      </c>
      <c r="B7" s="8">
        <f>B4-B5-B6</f>
        <v>61300</v>
      </c>
      <c r="D7" t="s">
        <v>17</v>
      </c>
      <c r="E7" s="8">
        <f>SUMIFS(Transactions!E:E,Transactions!C:C,D7,Transactions!B:B,"Expense")</f>
        <v>6600</v>
      </c>
      <c r="F7" s="7">
        <f t="shared" si="0"/>
        <v>3.8892162639952856E-2</v>
      </c>
    </row>
    <row r="8" spans="1:6" x14ac:dyDescent="0.25">
      <c r="A8" t="s">
        <v>44</v>
      </c>
      <c r="B8" s="7">
        <f>B6/B4</f>
        <v>0.14444444444444443</v>
      </c>
      <c r="D8" t="s">
        <v>19</v>
      </c>
      <c r="E8" s="8">
        <f>SUMIFS(Transactions!E:E,Transactions!C:C,D8,Transactions!B:B,"Expense")</f>
        <v>10800</v>
      </c>
      <c r="F8" s="7">
        <f t="shared" si="0"/>
        <v>6.3641720683559222E-2</v>
      </c>
    </row>
    <row r="9" spans="1:6" x14ac:dyDescent="0.25">
      <c r="D9" t="s">
        <v>21</v>
      </c>
      <c r="E9" s="8">
        <f>SUMIFS(Transactions!E:E,Transactions!C:C,D9,Transactions!B:B,"Expense")</f>
        <v>10800</v>
      </c>
      <c r="F9" s="7">
        <f t="shared" si="0"/>
        <v>6.3641720683559222E-2</v>
      </c>
    </row>
    <row r="10" spans="1:6" x14ac:dyDescent="0.25">
      <c r="D10" t="s">
        <v>23</v>
      </c>
      <c r="E10" s="8">
        <f>SUMIFS(Transactions!E:E,Transactions!C:C,D10,Transactions!B:B,"Expense")</f>
        <v>18500</v>
      </c>
      <c r="F10" s="7">
        <f t="shared" si="0"/>
        <v>0.10901591043017089</v>
      </c>
    </row>
    <row r="11" spans="1:6" x14ac:dyDescent="0.25">
      <c r="D11" t="s">
        <v>31</v>
      </c>
      <c r="E11" s="8">
        <f>SUMIFS(Transactions!E:E,Transactions!C:C,D11,Transactions!B:B,"Expense")</f>
        <v>4300</v>
      </c>
      <c r="F11" s="7">
        <f t="shared" si="0"/>
        <v>2.5338833235120803E-2</v>
      </c>
    </row>
    <row r="12" spans="1:6" x14ac:dyDescent="0.25">
      <c r="D12" t="s">
        <v>29</v>
      </c>
      <c r="E12" s="8">
        <f>SUMIFS(Transactions!E:E,Transactions!C:C,D12,Transactions!B:B,"Expense")</f>
        <v>6000</v>
      </c>
      <c r="F12" s="7">
        <f t="shared" si="0"/>
        <v>3.5356511490866237E-2</v>
      </c>
    </row>
    <row r="13" spans="1:6" x14ac:dyDescent="0.25">
      <c r="D13" t="s">
        <v>33</v>
      </c>
      <c r="E13" s="8">
        <f>SUMIFS(Transactions!E:E,Transactions!C:C,D13,Transactions!B:B,"Expense")</f>
        <v>4700</v>
      </c>
      <c r="F13" s="7">
        <f t="shared" si="0"/>
        <v>2.7695934001178549E-2</v>
      </c>
    </row>
    <row r="16" spans="1:6" x14ac:dyDescent="0.25">
      <c r="A16" s="1" t="s">
        <v>51</v>
      </c>
      <c r="B16" s="1" t="s">
        <v>52</v>
      </c>
      <c r="C16" s="1" t="s">
        <v>53</v>
      </c>
      <c r="D16" s="1" t="s">
        <v>46</v>
      </c>
      <c r="E16" s="1" t="s">
        <v>47</v>
      </c>
    </row>
    <row r="17" spans="1:6" ht="31.5" x14ac:dyDescent="0.25">
      <c r="A17" s="11" t="s">
        <v>54</v>
      </c>
      <c r="B17" s="11" t="s">
        <v>6</v>
      </c>
      <c r="C17" s="11" t="s">
        <v>55</v>
      </c>
      <c r="D17" s="11" t="s">
        <v>45</v>
      </c>
      <c r="E17" s="11" t="s">
        <v>43</v>
      </c>
      <c r="F17" s="12" t="s">
        <v>44</v>
      </c>
    </row>
    <row r="18" spans="1:6" x14ac:dyDescent="0.25">
      <c r="A18" t="s">
        <v>56</v>
      </c>
      <c r="B18" s="8">
        <f>SUMIFS(Transactions!E:E,Transactions!B:B,"Income",Transactions!A:A,"&gt;="&amp;DATE(2026,1,1),Transactions!A:A,"&lt;="&amp;DATE(2026,1,31))</f>
        <v>45000</v>
      </c>
      <c r="C18" s="8">
        <f>SUMIFS(Transactions!E:E,Transactions!B:B,"Expense",Transactions!A:A,"&gt;="&amp;DATE(2026,1,1),Transactions!A:A,"&lt;"&amp;DATE(2026,2,1))</f>
        <v>26500</v>
      </c>
      <c r="D18" s="8">
        <f>SUMIFS(Transactions!E:E,Transactions!B:B,"Savings",Transactions!A:A,"&gt;="&amp;DATE(2026,1,1),Transactions!A:A,"&lt;"&amp;DATE(2026,2,1))</f>
        <v>5000</v>
      </c>
      <c r="E18" s="8">
        <f>B18-C18-D18</f>
        <v>13500</v>
      </c>
      <c r="F18" s="7">
        <f>D18/B18</f>
        <v>0.1111111111111111</v>
      </c>
    </row>
    <row r="19" spans="1:6" x14ac:dyDescent="0.25">
      <c r="A19" t="s">
        <v>57</v>
      </c>
      <c r="B19" s="8">
        <f>SUMIFS(Transactions!E:E,Transactions!B:B,"Income",Transactions!A:A,"&gt;="&amp;DATE(2026,ROW()-17,1),Transactions!A:A,"&lt;"&amp;DATE(2026,ROW()-16,1))</f>
        <v>45000</v>
      </c>
      <c r="C19" s="8">
        <f>SUMIFS(Transactions!E:E,Transactions!B:B,"Expense",Transactions!A:A,"&gt;="&amp;DATE(2026,ROW()-17,1),Transactions!A:A,"&lt;"&amp;DATE(2026,ROW()-16,1))</f>
        <v>27800</v>
      </c>
      <c r="D19" s="8">
        <f>SUMIFS(Transactions!E:E,Transactions!B:B,"Savings",Transactions!A:A,"&gt;="&amp;DATE(2026,ROW()-17,1),Transactions!A:A,"&lt;"&amp;DATE(2026,ROW()-16,1))</f>
        <v>6000</v>
      </c>
      <c r="E19" s="8">
        <f>B19-C19-D19</f>
        <v>11200</v>
      </c>
      <c r="F19" s="7">
        <f t="shared" ref="F19:F23" si="1">D19/B19</f>
        <v>0.13333333333333333</v>
      </c>
    </row>
    <row r="20" spans="1:6" x14ac:dyDescent="0.25">
      <c r="A20" t="s">
        <v>58</v>
      </c>
      <c r="B20" s="8">
        <f>SUMIFS(Transactions!E:E,Transactions!B:B,"Income",Transactions!A:A,"&gt;="&amp;DATE(2026,ROW()-17,1),Transactions!A:A,"&lt;"&amp;DATE(2026,ROW()-16,1))</f>
        <v>45000</v>
      </c>
      <c r="C20" s="8">
        <f>SUMIFS(Transactions!E:E,Transactions!B:B,"Expense",Transactions!A:A,"&gt;="&amp;DATE(2026,ROW()-17,1),Transactions!A:A,"&lt;"&amp;DATE(2026,ROW()-16,1))</f>
        <v>28200</v>
      </c>
      <c r="D20" s="8">
        <f>SUMIFS(Transactions!E:E,Transactions!B:B,"Savings",Transactions!A:A,"&gt;="&amp;DATE(2026,ROW()-17,1),Transactions!A:A,"&lt;"&amp;DATE(2026,ROW()-16,1))</f>
        <v>7000</v>
      </c>
      <c r="E20" s="8">
        <f t="shared" ref="E20:E23" si="2">B20-C20-D20</f>
        <v>9800</v>
      </c>
      <c r="F20" s="7">
        <f t="shared" si="1"/>
        <v>0.15555555555555556</v>
      </c>
    </row>
    <row r="21" spans="1:6" x14ac:dyDescent="0.25">
      <c r="A21" t="s">
        <v>59</v>
      </c>
      <c r="B21" s="8">
        <f>SUMIFS(Transactions!E:E,Transactions!B:B,"Income",Transactions!A:A,"&gt;="&amp;DATE(2026,ROW()-17,1),Transactions!A:A,"&lt;"&amp;DATE(2026,ROW()-16,1))</f>
        <v>45000</v>
      </c>
      <c r="C21" s="8">
        <f>SUMIFS(Transactions!E:E,Transactions!B:B,"Expense",Transactions!A:A,"&gt;="&amp;DATE(2026,ROW()-17,1),Transactions!A:A,"&lt;"&amp;DATE(2026,ROW()-16,1))</f>
        <v>29300</v>
      </c>
      <c r="D21" s="8">
        <f>SUMIFS(Transactions!E:E,Transactions!B:B,"Savings",Transactions!A:A,"&gt;="&amp;DATE(2026,ROW()-17,1),Transactions!A:A,"&lt;"&amp;DATE(2026,ROW()-16,1))</f>
        <v>6500</v>
      </c>
      <c r="E21" s="8">
        <f t="shared" si="2"/>
        <v>9200</v>
      </c>
      <c r="F21" s="7">
        <f t="shared" si="1"/>
        <v>0.14444444444444443</v>
      </c>
    </row>
    <row r="22" spans="1:6" x14ac:dyDescent="0.25">
      <c r="A22" t="s">
        <v>60</v>
      </c>
      <c r="B22" s="8">
        <f>SUMIFS(Transactions!E:E,Transactions!B:B,"Income",Transactions!A:A,"&gt;="&amp;DATE(2026,ROW()-17,1),Transactions!A:A,"&lt;"&amp;DATE(2026,ROW()-16,1))</f>
        <v>45000</v>
      </c>
      <c r="C22" s="8">
        <f>SUMIFS(Transactions!E:E,Transactions!B:B,"Expense",Transactions!A:A,"&gt;="&amp;DATE(2026,ROW()-17,1),Transactions!A:A,"&lt;"&amp;DATE(2026,ROW()-16,1))</f>
        <v>27800</v>
      </c>
      <c r="D22" s="8">
        <f>SUMIFS(Transactions!E:E,Transactions!B:B,"Savings",Transactions!A:A,"&gt;="&amp;DATE(2026,ROW()-17,1),Transactions!A:A,"&lt;"&amp;DATE(2026,ROW()-16,1))</f>
        <v>7000</v>
      </c>
      <c r="E22" s="8">
        <f t="shared" si="2"/>
        <v>10200</v>
      </c>
      <c r="F22" s="7">
        <f t="shared" si="1"/>
        <v>0.15555555555555556</v>
      </c>
    </row>
    <row r="23" spans="1:6" x14ac:dyDescent="0.25">
      <c r="A23" t="s">
        <v>61</v>
      </c>
      <c r="B23" s="8">
        <f>SUMIFS(Transactions!E:E,Transactions!B:B,"Income",Transactions!A:A,"&gt;="&amp;DATE(2026,ROW()-17,1),Transactions!A:A,"&lt;"&amp;DATE(2026,ROW()-16,1))</f>
        <v>45000</v>
      </c>
      <c r="C23" s="8">
        <f>SUMIFS(Transactions!E:E,Transactions!B:B,"Expense",Transactions!A:A,"&gt;="&amp;DATE(2026,ROW()-17,1),Transactions!A:A,"&lt;"&amp;DATE(2026,ROW()-16,1))</f>
        <v>30100</v>
      </c>
      <c r="D23" s="8">
        <f>SUMIFS(Transactions!E:E,Transactions!B:B,"Savings",Transactions!A:A,"&gt;="&amp;DATE(2026,ROW()-17,1),Transactions!A:A,"&lt;"&amp;DATE(2026,ROW()-16,1))</f>
        <v>7500</v>
      </c>
      <c r="E23" s="8">
        <f t="shared" si="2"/>
        <v>7400</v>
      </c>
      <c r="F23" s="7">
        <f t="shared" si="1"/>
        <v>0.16666666666666666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ABDULQANI  BUDHOW</dc:creator>
  <cp:lastModifiedBy>ABDULQANI  BUDHOW</cp:lastModifiedBy>
  <dcterms:created xsi:type="dcterms:W3CDTF">2026-09-15T07:43:15Z</dcterms:created>
  <dcterms:modified xsi:type="dcterms:W3CDTF">2026-09-15T11:48:12Z</dcterms:modified>
</cp:coreProperties>
</file>